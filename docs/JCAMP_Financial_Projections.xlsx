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Projections" sheetId="2" state="visible" r:id="rId4"/>
    <sheet name="Scenarios" sheetId="3" state="visible" r:id="rId5"/>
    <sheet name="Costs" sheetId="4" state="visible" r:id="rId6"/>
    <sheet name="Tim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<sst xmlns="http://schemas.openxmlformats.org/spreadsheetml/2006/main" count="231" uniqueCount="198">
  <si>
    <t xml:space="preserve">JCAMP SIGNAL SERVICE - FINANCIAL MODEL</t>
  </si>
  <si>
    <t xml:space="preserve">All blue values are inputs - change these to run scenarios</t>
  </si>
  <si>
    <t xml:space="preserve">PRICING ASSUMPTIONS</t>
  </si>
  <si>
    <t xml:space="preserve">Parameter</t>
  </si>
  <si>
    <t xml:space="preserve">Value</t>
  </si>
  <si>
    <t xml:space="preserve">Unit</t>
  </si>
  <si>
    <t xml:space="preserve">Notes</t>
  </si>
  <si>
    <t xml:space="preserve">Basic Tier Price</t>
  </si>
  <si>
    <t xml:space="preserve">$/month</t>
  </si>
  <si>
    <t xml:space="preserve">Telegram signals only</t>
  </si>
  <si>
    <t xml:space="preserve">Pro Tier Price</t>
  </si>
  <si>
    <t xml:space="preserve">Discord + weekly analysis</t>
  </si>
  <si>
    <t xml:space="preserve">VIP Tier Price</t>
  </si>
  <si>
    <t xml:space="preserve">1-on-1 calls + custom settings</t>
  </si>
  <si>
    <t xml:space="preserve">Basic Tier Mix</t>
  </si>
  <si>
    <t xml:space="preserve">%</t>
  </si>
  <si>
    <t xml:space="preserve">60% of subscribers</t>
  </si>
  <si>
    <t xml:space="preserve">Pro Tier Mix</t>
  </si>
  <si>
    <t xml:space="preserve">30% of subscribers</t>
  </si>
  <si>
    <t xml:space="preserve">VIP Tier Mix</t>
  </si>
  <si>
    <t xml:space="preserve">10% of subscribers</t>
  </si>
  <si>
    <t xml:space="preserve">Weighted ARPU</t>
  </si>
  <si>
    <t xml:space="preserve">Formula: tier mix weighted average</t>
  </si>
  <si>
    <t xml:space="preserve">COST ASSUMPTIONS</t>
  </si>
  <si>
    <t xml:space="preserve">VPS Primary</t>
  </si>
  <si>
    <t xml:space="preserve">DigitalOcean/Linode 4 core 8GB</t>
  </si>
  <si>
    <t xml:space="preserve">VPS Backup</t>
  </si>
  <si>
    <t xml:space="preserve">Redundancy for 99.9% uptime</t>
  </si>
  <si>
    <t xml:space="preserve">Claude Pro</t>
  </si>
  <si>
    <t xml:space="preserve">Development tool - $17/mo annual</t>
  </si>
  <si>
    <t xml:space="preserve">Domain + SSL</t>
  </si>
  <si>
    <t xml:space="preserve">Namecheap + LetsEncrypt</t>
  </si>
  <si>
    <t xml:space="preserve">Stripe Fee Rate</t>
  </si>
  <si>
    <t xml:space="preserve">2.9% per transaction</t>
  </si>
  <si>
    <t xml:space="preserve">Stripe Fee Fixed</t>
  </si>
  <si>
    <t xml:space="preserve">$/txn</t>
  </si>
  <si>
    <t xml:space="preserve">Plus $0.30 per transaction</t>
  </si>
  <si>
    <t xml:space="preserve">MT5 Account Capital</t>
  </si>
  <si>
    <t xml:space="preserve">$ one-time</t>
  </si>
  <si>
    <t xml:space="preserve">Initial trading capital</t>
  </si>
  <si>
    <t xml:space="preserve">GROWTH ASSUMPTIONS</t>
  </si>
  <si>
    <t xml:space="preserve">Monthly Churn Rate</t>
  </si>
  <si>
    <t xml:space="preserve">Industry avg 8-12% for signals</t>
  </si>
  <si>
    <t xml:space="preserve">Month 1 New Subs</t>
  </si>
  <si>
    <t xml:space="preserve">subscribers</t>
  </si>
  <si>
    <t xml:space="preserve">Friends + early followers</t>
  </si>
  <si>
    <t xml:space="preserve">Monthly Growth Rate</t>
  </si>
  <si>
    <t xml:space="preserve">Organic + content marketing</t>
  </si>
  <si>
    <t xml:space="preserve">Free Trial Conversion</t>
  </si>
  <si>
    <t xml:space="preserve">Trial to paid conversion</t>
  </si>
  <si>
    <t xml:space="preserve">Annual Discount</t>
  </si>
  <si>
    <t xml:space="preserve">30% off for annual plans</t>
  </si>
  <si>
    <t xml:space="preserve">CLAUDE AI SUBSCRIPTION REFERENCE</t>
  </si>
  <si>
    <t xml:space="preserve">Plan</t>
  </si>
  <si>
    <t xml:space="preserve">Price</t>
  </si>
  <si>
    <t xml:space="preserve">Usage</t>
  </si>
  <si>
    <t xml:space="preserve">Best For</t>
  </si>
  <si>
    <t xml:space="preserve">Free</t>
  </si>
  <si>
    <t xml:space="preserve">$0/month</t>
  </si>
  <si>
    <t xml:space="preserve">Limited, resets 5 hours</t>
  </si>
  <si>
    <t xml:space="preserve">Testing</t>
  </si>
  <si>
    <t xml:space="preserve">Pro</t>
  </si>
  <si>
    <t xml:space="preserve">$20/month ($17 annual)</t>
  </si>
  <si>
    <t xml:space="preserve">5x Free usage</t>
  </si>
  <si>
    <t xml:space="preserve">Development</t>
  </si>
  <si>
    <t xml:space="preserve">Max 5x</t>
  </si>
  <si>
    <t xml:space="preserve">$100/month</t>
  </si>
  <si>
    <t xml:space="preserve">25x Free usage</t>
  </si>
  <si>
    <t xml:space="preserve">Heavy coding</t>
  </si>
  <si>
    <t xml:space="preserve">Max 20x</t>
  </si>
  <si>
    <t xml:space="preserve">$200/month</t>
  </si>
  <si>
    <t xml:space="preserve">100x Free usage</t>
  </si>
  <si>
    <t xml:space="preserve">Full-time coding</t>
  </si>
  <si>
    <t xml:space="preserve">Team</t>
  </si>
  <si>
    <t xml:space="preserve">$25-30/user/month</t>
  </si>
  <si>
    <t xml:space="preserve">Pro + admin (5+ users)</t>
  </si>
  <si>
    <t xml:space="preserve">Small teams</t>
  </si>
  <si>
    <t xml:space="preserve">24-MONTH SUBSCRIBER &amp; REVENUE PROJECTIONS</t>
  </si>
  <si>
    <t xml:space="preserve">Month</t>
  </si>
  <si>
    <t xml:space="preserve">New Subs</t>
  </si>
  <si>
    <t xml:space="preserve">Churned</t>
  </si>
  <si>
    <t xml:space="preserve">Total Subs</t>
  </si>
  <si>
    <t xml:space="preserve">Basic</t>
  </si>
  <si>
    <t xml:space="preserve">VIP</t>
  </si>
  <si>
    <t xml:space="preserve">Gross Rev</t>
  </si>
  <si>
    <t xml:space="preserve">Stripe Fees</t>
  </si>
  <si>
    <t xml:space="preserve">Fixed Costs</t>
  </si>
  <si>
    <t xml:space="preserve">Net Revenue</t>
  </si>
  <si>
    <t xml:space="preserve">Cum. Revenue</t>
  </si>
  <si>
    <t xml:space="preserve">Cum. Profit</t>
  </si>
  <si>
    <t xml:space="preserve">SCENARIO ANALYSIS - 24 MONTH OUTCOMES</t>
  </si>
  <si>
    <t xml:space="preserve">Scenario</t>
  </si>
  <si>
    <t xml:space="preserve">Subscribers</t>
  </si>
  <si>
    <t xml:space="preserve">Monthly Revenue</t>
  </si>
  <si>
    <t xml:space="preserve">Monthly Costs</t>
  </si>
  <si>
    <t xml:space="preserve">Monthly Profit</t>
  </si>
  <si>
    <t xml:space="preserve">Annual Profit</t>
  </si>
  <si>
    <t xml:space="preserve">Break-even</t>
  </si>
  <si>
    <t xml:space="preserve">Pessimistic</t>
  </si>
  <si>
    <t xml:space="preserve">Realistic</t>
  </si>
  <si>
    <t xml:space="preserve">Optimistic</t>
  </si>
  <si>
    <t xml:space="preserve">Stretch</t>
  </si>
  <si>
    <t xml:space="preserve">DIVERSIFIED REVENUE STREAMS (ADDITIONAL)</t>
  </si>
  <si>
    <t xml:space="preserve">Revenue Stream</t>
  </si>
  <si>
    <t xml:space="preserve">Monthly Potential</t>
  </si>
  <si>
    <t xml:space="preserve">Probability</t>
  </si>
  <si>
    <t xml:space="preserve">Expected Value</t>
  </si>
  <si>
    <t xml:space="preserve">Broker Affiliates</t>
  </si>
  <si>
    <t xml:space="preserve">10 refs @ $350 avg</t>
  </si>
  <si>
    <t xml:space="preserve">Backtesting Course</t>
  </si>
  <si>
    <t xml:space="preserve">5 sales @ $300</t>
  </si>
  <si>
    <t xml:space="preserve">Custom EA Sales</t>
  </si>
  <si>
    <t xml:space="preserve">2 sales @ $1500</t>
  </si>
  <si>
    <t xml:space="preserve">YouTube Revenue</t>
  </si>
  <si>
    <t xml:space="preserve">After 1000 subs</t>
  </si>
  <si>
    <t xml:space="preserve">TOTAL ADDITIONAL</t>
  </si>
  <si>
    <t xml:space="preserve">DETAILED COST BREAKDOWN BY PHASE</t>
  </si>
  <si>
    <t xml:space="preserve">Cost Item</t>
  </si>
  <si>
    <t xml:space="preserve">Development Phase</t>
  </si>
  <si>
    <t xml:space="preserve">Live Phase</t>
  </si>
  <si>
    <t xml:space="preserve">VPS Primary (4 core, 8GB)</t>
  </si>
  <si>
    <t xml:space="preserve">DigitalOcean/Linode</t>
  </si>
  <si>
    <t xml:space="preserve">VPS Backup (redundancy)</t>
  </si>
  <si>
    <t xml:space="preserve">Required for 99.9% uptime</t>
  </si>
  <si>
    <t xml:space="preserve">Claude Pro Subscription</t>
  </si>
  <si>
    <t xml:space="preserve">$17/mo with annual billing</t>
  </si>
  <si>
    <t xml:space="preserve">Domain Registration</t>
  </si>
  <si>
    <t xml:space="preserve">Namecheap annual</t>
  </si>
  <si>
    <t xml:space="preserve">SSL Certificate</t>
  </si>
  <si>
    <t xml:space="preserve">Free via LetsEncrypt</t>
  </si>
  <si>
    <t xml:space="preserve">Telegram Bot API</t>
  </si>
  <si>
    <t xml:space="preserve">Discord Bot Hosting</t>
  </si>
  <si>
    <t xml:space="preserve">Included in VPS</t>
  </si>
  <si>
    <t xml:space="preserve">Stripe Payment Fees</t>
  </si>
  <si>
    <t xml:space="preserve">Variable</t>
  </si>
  <si>
    <t xml:space="preserve">2.9% + $0.30/txn</t>
  </si>
  <si>
    <t xml:space="preserve">SendGrid Email</t>
  </si>
  <si>
    <t xml:space="preserve">Free tier 100/day</t>
  </si>
  <si>
    <t xml:space="preserve">Myfxbook</t>
  </si>
  <si>
    <t xml:space="preserve">Free API</t>
  </si>
  <si>
    <t xml:space="preserve">MT5 Demo Account</t>
  </si>
  <si>
    <t xml:space="preserve">MT5 Real Account</t>
  </si>
  <si>
    <t xml:space="preserve">One-time capital</t>
  </si>
  <si>
    <t xml:space="preserve">Monitoring (UptimeRobot)</t>
  </si>
  <si>
    <t xml:space="preserve">Free tier</t>
  </si>
  <si>
    <t xml:space="preserve">TOTAL FIXED MONTHLY</t>
  </si>
  <si>
    <t xml:space="preserve">Excludes variable Stripe</t>
  </si>
  <si>
    <t xml:space="preserve">TOTAL ONE-TIME</t>
  </si>
  <si>
    <t xml:space="preserve">MT5 capital</t>
  </si>
  <si>
    <t xml:space="preserve">PROJECT TIMELINE - 24 MONTHS TO $5K/MONTH</t>
  </si>
  <si>
    <t xml:space="preserve">Phase</t>
  </si>
  <si>
    <t xml:space="preserve">Description</t>
  </si>
  <si>
    <t xml:space="preserve">Duration</t>
  </si>
  <si>
    <t xml:space="preserve">Effort</t>
  </si>
  <si>
    <t xml:space="preserve">Key Deliverable</t>
  </si>
  <si>
    <t xml:space="preserve">Cumulative Time</t>
  </si>
  <si>
    <t xml:space="preserve">1</t>
  </si>
  <si>
    <t xml:space="preserve">Complete Phase 5.2</t>
  </si>
  <si>
    <t xml:space="preserve">2 weeks</t>
  </si>
  <si>
    <t xml:space="preserve">6-8 hrs</t>
  </si>
  <si>
    <t xml:space="preserve">C# viewer 100%</t>
  </si>
  <si>
    <t xml:space="preserve">2</t>
  </si>
  <si>
    <t xml:space="preserve">Multi-Pair Validation</t>
  </si>
  <si>
    <t xml:space="preserve">10-12 hrs</t>
  </si>
  <si>
    <t xml:space="preserve">6-pair backtest</t>
  </si>
  <si>
    <t xml:space="preserve">4 weeks</t>
  </si>
  <si>
    <t xml:space="preserve">3</t>
  </si>
  <si>
    <t xml:space="preserve">Live Trading + Myfxbook</t>
  </si>
  <si>
    <t xml:space="preserve">26-34 hrs</t>
  </si>
  <si>
    <t xml:space="preserve">Demo trading live</t>
  </si>
  <si>
    <t xml:space="preserve">8 weeks</t>
  </si>
  <si>
    <t xml:space="preserve">4</t>
  </si>
  <si>
    <t xml:space="preserve">Extended Validation</t>
  </si>
  <si>
    <t xml:space="preserve">44-52 weeks</t>
  </si>
  <si>
    <t xml:space="preserve">15-20 hrs</t>
  </si>
  <si>
    <t xml:space="preserve">12-month track record</t>
  </si>
  <si>
    <t xml:space="preserve">52-60 weeks</t>
  </si>
  <si>
    <t xml:space="preserve">5</t>
  </si>
  <si>
    <t xml:space="preserve">Signal Service MVP</t>
  </si>
  <si>
    <t xml:space="preserve">18-24 hrs</t>
  </si>
  <si>
    <t xml:space="preserve">Telegram + landing</t>
  </si>
  <si>
    <t xml:space="preserve">56-64 weeks</t>
  </si>
  <si>
    <t xml:space="preserve">6</t>
  </si>
  <si>
    <t xml:space="preserve">Beta Launch</t>
  </si>
  <si>
    <t xml:space="preserve">6 weeks</t>
  </si>
  <si>
    <t xml:space="preserve">10-15 hrs</t>
  </si>
  <si>
    <t xml:space="preserve">15-20 beta users</t>
  </si>
  <si>
    <t xml:space="preserve">62-70 weeks</t>
  </si>
  <si>
    <t xml:space="preserve">7</t>
  </si>
  <si>
    <t xml:space="preserve">Public Launch</t>
  </si>
  <si>
    <t xml:space="preserve">First 30 subscribers</t>
  </si>
  <si>
    <t xml:space="preserve">66-74 weeks</t>
  </si>
  <si>
    <t xml:space="preserve">8</t>
  </si>
  <si>
    <t xml:space="preserve">Scale to $5k/month</t>
  </si>
  <si>
    <t xml:space="preserve">24-32 weeks</t>
  </si>
  <si>
    <t xml:space="preserve">15-20 hrs/mo</t>
  </si>
  <si>
    <t xml:space="preserve">100+ subscribers</t>
  </si>
  <si>
    <t xml:space="preserve">90-106 weeks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</si>
</sst>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365D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6"/>
      <color rgb="FF1A365D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FFDE7"/>
        <bgColor rgb="FFFFFFFF"/>
      </patternFill>
    </fill>
    <fill>
      <patternFill patternType="solid">
        <fgColor rgb="FFE8F4E8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8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3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49</v>
      </c>
      <c r="C6" s="5" t="s">
        <v>8</v>
      </c>
      <c r="D6" s="5" t="s">
        <v>9</v>
      </c>
    </row>
    <row r="7" customFormat="false" ht="15" hidden="false" customHeight="false" outlineLevel="0" collapsed="false">
      <c r="A7" s="5" t="s">
        <v>10</v>
      </c>
      <c r="B7" s="6" t="n">
        <v>99</v>
      </c>
      <c r="C7" s="5" t="s">
        <v>8</v>
      </c>
      <c r="D7" s="5" t="s">
        <v>11</v>
      </c>
    </row>
    <row r="8" customFormat="false" ht="15" hidden="false" customHeight="false" outlineLevel="0" collapsed="false">
      <c r="A8" s="5" t="s">
        <v>12</v>
      </c>
      <c r="B8" s="6" t="n">
        <v>199</v>
      </c>
      <c r="C8" s="5" t="s">
        <v>8</v>
      </c>
      <c r="D8" s="5" t="s">
        <v>13</v>
      </c>
    </row>
    <row r="9" customFormat="false" ht="15" hidden="false" customHeight="false" outlineLevel="0" collapsed="false">
      <c r="A9" s="5" t="s">
        <v>14</v>
      </c>
      <c r="B9" s="6" t="n">
        <v>0.6</v>
      </c>
      <c r="C9" s="5" t="s">
        <v>15</v>
      </c>
      <c r="D9" s="5" t="s">
        <v>16</v>
      </c>
    </row>
    <row r="10" customFormat="false" ht="15" hidden="false" customHeight="false" outlineLevel="0" collapsed="false">
      <c r="A10" s="5" t="s">
        <v>17</v>
      </c>
      <c r="B10" s="6" t="n">
        <v>0.3</v>
      </c>
      <c r="C10" s="5" t="s">
        <v>15</v>
      </c>
      <c r="D10" s="5" t="s">
        <v>18</v>
      </c>
    </row>
    <row r="11" customFormat="false" ht="15" hidden="false" customHeight="false" outlineLevel="0" collapsed="false">
      <c r="A11" s="5" t="s">
        <v>19</v>
      </c>
      <c r="B11" s="6" t="n">
        <v>0.1</v>
      </c>
      <c r="C11" s="5" t="s">
        <v>15</v>
      </c>
      <c r="D11" s="5" t="s">
        <v>20</v>
      </c>
    </row>
    <row r="12" customFormat="false" ht="15" hidden="false" customHeight="false" outlineLevel="0" collapsed="false">
      <c r="A12" s="5" t="s">
        <v>21</v>
      </c>
      <c r="B12" s="7" t="n">
        <f aca="false">B6*B9+B7*B10+B8*B11</f>
        <v>79</v>
      </c>
      <c r="C12" s="5" t="s">
        <v>8</v>
      </c>
      <c r="D12" s="5" t="s">
        <v>22</v>
      </c>
    </row>
    <row r="14" customFormat="false" ht="15" hidden="false" customHeight="false" outlineLevel="0" collapsed="false">
      <c r="A14" s="3" t="s">
        <v>23</v>
      </c>
    </row>
    <row r="15" customFormat="false" ht="15" hidden="false" customHeight="false" outlineLevel="0" collapsed="false">
      <c r="A15" s="8" t="s">
        <v>3</v>
      </c>
      <c r="B15" s="8" t="s">
        <v>4</v>
      </c>
      <c r="C15" s="8" t="s">
        <v>5</v>
      </c>
      <c r="D15" s="8" t="s">
        <v>6</v>
      </c>
    </row>
    <row r="16" customFormat="false" ht="15" hidden="false" customHeight="false" outlineLevel="0" collapsed="false">
      <c r="A16" s="5" t="s">
        <v>24</v>
      </c>
      <c r="B16" s="6" t="n">
        <v>40</v>
      </c>
      <c r="C16" s="5" t="s">
        <v>8</v>
      </c>
      <c r="D16" s="5" t="s">
        <v>25</v>
      </c>
    </row>
    <row r="17" customFormat="false" ht="15" hidden="false" customHeight="false" outlineLevel="0" collapsed="false">
      <c r="A17" s="5" t="s">
        <v>26</v>
      </c>
      <c r="B17" s="6" t="n">
        <v>40</v>
      </c>
      <c r="C17" s="5" t="s">
        <v>8</v>
      </c>
      <c r="D17" s="5" t="s">
        <v>27</v>
      </c>
    </row>
    <row r="18" customFormat="false" ht="15" hidden="false" customHeight="false" outlineLevel="0" collapsed="false">
      <c r="A18" s="5" t="s">
        <v>28</v>
      </c>
      <c r="B18" s="6" t="n">
        <v>20</v>
      </c>
      <c r="C18" s="5" t="s">
        <v>8</v>
      </c>
      <c r="D18" s="5" t="s">
        <v>29</v>
      </c>
    </row>
    <row r="19" customFormat="false" ht="15" hidden="false" customHeight="false" outlineLevel="0" collapsed="false">
      <c r="A19" s="5" t="s">
        <v>30</v>
      </c>
      <c r="B19" s="6" t="n">
        <v>1</v>
      </c>
      <c r="C19" s="5" t="s">
        <v>8</v>
      </c>
      <c r="D19" s="5" t="s">
        <v>31</v>
      </c>
    </row>
    <row r="20" customFormat="false" ht="15" hidden="false" customHeight="false" outlineLevel="0" collapsed="false">
      <c r="A20" s="5" t="s">
        <v>32</v>
      </c>
      <c r="B20" s="6" t="n">
        <v>0.029</v>
      </c>
      <c r="C20" s="5" t="s">
        <v>15</v>
      </c>
      <c r="D20" s="5" t="s">
        <v>33</v>
      </c>
    </row>
    <row r="21" customFormat="false" ht="15" hidden="false" customHeight="false" outlineLevel="0" collapsed="false">
      <c r="A21" s="5" t="s">
        <v>34</v>
      </c>
      <c r="B21" s="6" t="n">
        <v>0.3</v>
      </c>
      <c r="C21" s="5" t="s">
        <v>35</v>
      </c>
      <c r="D21" s="5" t="s">
        <v>36</v>
      </c>
    </row>
    <row r="22" customFormat="false" ht="15" hidden="false" customHeight="false" outlineLevel="0" collapsed="false">
      <c r="A22" s="5" t="s">
        <v>37</v>
      </c>
      <c r="B22" s="6" t="n">
        <v>500</v>
      </c>
      <c r="C22" s="5" t="s">
        <v>38</v>
      </c>
      <c r="D22" s="5" t="s">
        <v>39</v>
      </c>
    </row>
    <row r="24" customFormat="false" ht="15" hidden="false" customHeight="false" outlineLevel="0" collapsed="false">
      <c r="A24" s="3" t="s">
        <v>40</v>
      </c>
    </row>
    <row r="25" customFormat="false" ht="15" hidden="false" customHeight="false" outlineLevel="0" collapsed="false">
      <c r="A25" s="8" t="s">
        <v>3</v>
      </c>
      <c r="B25" s="8" t="s">
        <v>4</v>
      </c>
      <c r="C25" s="8" t="s">
        <v>5</v>
      </c>
      <c r="D25" s="8" t="s">
        <v>6</v>
      </c>
    </row>
    <row r="26" customFormat="false" ht="15" hidden="false" customHeight="false" outlineLevel="0" collapsed="false">
      <c r="A26" s="5" t="s">
        <v>41</v>
      </c>
      <c r="B26" s="6" t="n">
        <v>0.1</v>
      </c>
      <c r="C26" s="5" t="s">
        <v>15</v>
      </c>
      <c r="D26" s="5" t="s">
        <v>42</v>
      </c>
    </row>
    <row r="27" customFormat="false" ht="15" hidden="false" customHeight="false" outlineLevel="0" collapsed="false">
      <c r="A27" s="5" t="s">
        <v>43</v>
      </c>
      <c r="B27" s="6" t="n">
        <v>10</v>
      </c>
      <c r="C27" s="5" t="s">
        <v>44</v>
      </c>
      <c r="D27" s="5" t="s">
        <v>45</v>
      </c>
    </row>
    <row r="28" customFormat="false" ht="15" hidden="false" customHeight="false" outlineLevel="0" collapsed="false">
      <c r="A28" s="5" t="s">
        <v>46</v>
      </c>
      <c r="B28" s="6" t="n">
        <v>0.15</v>
      </c>
      <c r="C28" s="5" t="s">
        <v>15</v>
      </c>
      <c r="D28" s="5" t="s">
        <v>47</v>
      </c>
    </row>
    <row r="29" customFormat="false" ht="15" hidden="false" customHeight="false" outlineLevel="0" collapsed="false">
      <c r="A29" s="5" t="s">
        <v>48</v>
      </c>
      <c r="B29" s="6" t="n">
        <v>0.2</v>
      </c>
      <c r="C29" s="5" t="s">
        <v>15</v>
      </c>
      <c r="D29" s="5" t="s">
        <v>49</v>
      </c>
    </row>
    <row r="30" customFormat="false" ht="15" hidden="false" customHeight="false" outlineLevel="0" collapsed="false">
      <c r="A30" s="5" t="s">
        <v>50</v>
      </c>
      <c r="B30" s="6" t="n">
        <v>0.3</v>
      </c>
      <c r="C30" s="5" t="s">
        <v>15</v>
      </c>
      <c r="D30" s="5" t="s">
        <v>51</v>
      </c>
    </row>
    <row r="33" customFormat="false" ht="15" hidden="false" customHeight="false" outlineLevel="0" collapsed="false">
      <c r="A33" s="3" t="s">
        <v>52</v>
      </c>
    </row>
    <row r="34" customFormat="false" ht="15" hidden="false" customHeight="false" outlineLevel="0" collapsed="false">
      <c r="A34" s="8" t="s">
        <v>53</v>
      </c>
      <c r="B34" s="8" t="s">
        <v>54</v>
      </c>
      <c r="C34" s="8" t="s">
        <v>55</v>
      </c>
      <c r="D34" s="8" t="s">
        <v>56</v>
      </c>
    </row>
    <row r="35" customFormat="false" ht="15" hidden="false" customHeight="false" outlineLevel="0" collapsed="false">
      <c r="A35" s="5" t="s">
        <v>57</v>
      </c>
      <c r="B35" s="5" t="s">
        <v>58</v>
      </c>
      <c r="C35" s="5" t="s">
        <v>59</v>
      </c>
      <c r="D35" s="5" t="s">
        <v>60</v>
      </c>
    </row>
    <row r="36" customFormat="false" ht="15" hidden="false" customHeight="false" outlineLevel="0" collapsed="false">
      <c r="A36" s="5" t="s">
        <v>61</v>
      </c>
      <c r="B36" s="5" t="s">
        <v>62</v>
      </c>
      <c r="C36" s="5" t="s">
        <v>63</v>
      </c>
      <c r="D36" s="5" t="s">
        <v>64</v>
      </c>
    </row>
    <row r="37" customFormat="false" ht="15" hidden="false" customHeight="false" outlineLevel="0" collapsed="false">
      <c r="A37" s="5" t="s">
        <v>65</v>
      </c>
      <c r="B37" s="5" t="s">
        <v>66</v>
      </c>
      <c r="C37" s="5" t="s">
        <v>67</v>
      </c>
      <c r="D37" s="5" t="s">
        <v>68</v>
      </c>
    </row>
    <row r="38" customFormat="false" ht="15" hidden="false" customHeight="false" outlineLevel="0" collapsed="false">
      <c r="A38" s="5" t="s">
        <v>69</v>
      </c>
      <c r="B38" s="5" t="s">
        <v>70</v>
      </c>
      <c r="C38" s="5" t="s">
        <v>71</v>
      </c>
      <c r="D38" s="5" t="s">
        <v>72</v>
      </c>
    </row>
    <row r="39" customFormat="false" ht="15" hidden="false" customHeight="false" outlineLevel="0" collapsed="false">
      <c r="A39" s="5" t="s">
        <v>73</v>
      </c>
      <c r="B39" s="5" t="s">
        <v>74</v>
      </c>
      <c r="C39" s="5" t="s">
        <v>75</v>
      </c>
      <c r="D39" s="5" t="s">
        <v>76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2"/>
  </cols>
  <sheetData>
    <row r="1" customFormat="false" ht="19.7" hidden="false" customHeight="false" outlineLevel="0" collapsed="false">
      <c r="A1" s="9" t="s">
        <v>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customFormat="false" ht="15" hidden="false" customHeight="false" outlineLevel="0" collapsed="false">
      <c r="A3" s="10" t="s">
        <v>78</v>
      </c>
      <c r="B3" s="10" t="s">
        <v>79</v>
      </c>
      <c r="C3" s="10" t="s">
        <v>80</v>
      </c>
      <c r="D3" s="10" t="s">
        <v>81</v>
      </c>
      <c r="E3" s="10" t="s">
        <v>82</v>
      </c>
      <c r="F3" s="10" t="s">
        <v>61</v>
      </c>
      <c r="G3" s="10" t="s">
        <v>83</v>
      </c>
      <c r="H3" s="10" t="s">
        <v>84</v>
      </c>
      <c r="I3" s="10" t="s">
        <v>85</v>
      </c>
      <c r="J3" s="10" t="s">
        <v>86</v>
      </c>
      <c r="K3" s="10" t="s">
        <v>87</v>
      </c>
      <c r="L3" s="10" t="s">
        <v>88</v>
      </c>
      <c r="M3" s="10" t="s">
        <v>89</v>
      </c>
    </row>
    <row r="4" customFormat="false" ht="15" hidden="false" customHeight="false" outlineLevel="0" collapsed="false">
      <c r="A4" s="5" t="n">
        <v>1</v>
      </c>
      <c r="B4" s="5" t="n">
        <f aca="false">Assumptions!B27</f>
        <v>10</v>
      </c>
      <c r="C4" s="5" t="n">
        <v>0</v>
      </c>
      <c r="D4" s="5" t="n">
        <f aca="false">B4-C4</f>
        <v>10</v>
      </c>
      <c r="E4" s="5" t="n">
        <f aca="false">ROUND(D4*Assumptions!B9,0)</f>
        <v>6</v>
      </c>
      <c r="F4" s="5" t="n">
        <f aca="false">ROUND(D4*Assumptions!B10,0)</f>
        <v>3</v>
      </c>
      <c r="G4" s="5" t="n">
        <f aca="false">D4-E4-F4</f>
        <v>1</v>
      </c>
      <c r="H4" s="11" t="n">
        <f aca="false">E4*Assumptions!B6+F4*Assumptions!B7+G4*Assumptions!B8</f>
        <v>790</v>
      </c>
      <c r="I4" s="11" t="n">
        <f aca="false">H4*Assumptions!B20+D4*Assumptions!B21</f>
        <v>25.91</v>
      </c>
      <c r="J4" s="11" t="n">
        <f aca="false">Assumptions!B16+Assumptions!B17+Assumptions!B18+Assumptions!B19</f>
        <v>101</v>
      </c>
      <c r="K4" s="11" t="n">
        <f aca="false">H4-I4-J4</f>
        <v>663.09</v>
      </c>
      <c r="L4" s="11" t="n">
        <f aca="false">H4</f>
        <v>790</v>
      </c>
      <c r="M4" s="11" t="n">
        <f aca="false">K4</f>
        <v>663.09</v>
      </c>
    </row>
    <row r="5" customFormat="false" ht="15" hidden="false" customHeight="false" outlineLevel="0" collapsed="false">
      <c r="A5" s="5" t="n">
        <v>2</v>
      </c>
      <c r="B5" s="5" t="n">
        <f aca="false">ROUND(D4*Assumptions!$B$28,0)</f>
        <v>2</v>
      </c>
      <c r="C5" s="5" t="n">
        <f aca="false">ROUND(D4*Assumptions!$B$26,0)</f>
        <v>1</v>
      </c>
      <c r="D5" s="5" t="n">
        <f aca="false">D4+B5-C5</f>
        <v>11</v>
      </c>
      <c r="E5" s="5" t="n">
        <f aca="false">ROUND(D5*Assumptions!$B$9,0)</f>
        <v>7</v>
      </c>
      <c r="F5" s="5" t="n">
        <f aca="false">ROUND(D5*Assumptions!$B$10,0)</f>
        <v>3</v>
      </c>
      <c r="G5" s="5" t="n">
        <f aca="false">D5-E5-F5</f>
        <v>1</v>
      </c>
      <c r="H5" s="11" t="n">
        <f aca="false">E5*Assumptions!$B$6+F5*Assumptions!$B$7+G5*Assumptions!$B$8</f>
        <v>839</v>
      </c>
      <c r="I5" s="11" t="n">
        <f aca="false">H5*Assumptions!$B$20+D5*Assumptions!$B$21</f>
        <v>27.631</v>
      </c>
      <c r="J5" s="11" t="n">
        <f aca="false">Assumptions!$B$16+Assumptions!$B$17+Assumptions!$B$18+Assumptions!$B$19</f>
        <v>101</v>
      </c>
      <c r="K5" s="11" t="n">
        <f aca="false">H5-I5-J5</f>
        <v>710.369</v>
      </c>
      <c r="L5" s="11" t="n">
        <f aca="false">L4+H5</f>
        <v>1629</v>
      </c>
      <c r="M5" s="11" t="n">
        <f aca="false">M4+K5</f>
        <v>1373.459</v>
      </c>
    </row>
    <row r="6" customFormat="false" ht="15" hidden="false" customHeight="false" outlineLevel="0" collapsed="false">
      <c r="A6" s="5" t="n">
        <v>3</v>
      </c>
      <c r="B6" s="5" t="n">
        <f aca="false">ROUND(D5*Assumptions!$B$28,0)</f>
        <v>2</v>
      </c>
      <c r="C6" s="5" t="n">
        <f aca="false">ROUND(D5*Assumptions!$B$26,0)</f>
        <v>1</v>
      </c>
      <c r="D6" s="5" t="n">
        <f aca="false">D5+B6-C6</f>
        <v>12</v>
      </c>
      <c r="E6" s="5" t="n">
        <f aca="false">ROUND(D6*Assumptions!$B$9,0)</f>
        <v>7</v>
      </c>
      <c r="F6" s="5" t="n">
        <f aca="false">ROUND(D6*Assumptions!$B$10,0)</f>
        <v>4</v>
      </c>
      <c r="G6" s="5" t="n">
        <f aca="false">D6-E6-F6</f>
        <v>1</v>
      </c>
      <c r="H6" s="11" t="n">
        <f aca="false">E6*Assumptions!$B$6+F6*Assumptions!$B$7+G6*Assumptions!$B$8</f>
        <v>938</v>
      </c>
      <c r="I6" s="11" t="n">
        <f aca="false">H6*Assumptions!$B$20+D6*Assumptions!$B$21</f>
        <v>30.802</v>
      </c>
      <c r="J6" s="11" t="n">
        <f aca="false">Assumptions!$B$16+Assumptions!$B$17+Assumptions!$B$18+Assumptions!$B$19</f>
        <v>101</v>
      </c>
      <c r="K6" s="11" t="n">
        <f aca="false">H6-I6-J6</f>
        <v>806.198</v>
      </c>
      <c r="L6" s="11" t="n">
        <f aca="false">L5+H6</f>
        <v>2567</v>
      </c>
      <c r="M6" s="11" t="n">
        <f aca="false">M5+K6</f>
        <v>2179.657</v>
      </c>
    </row>
    <row r="7" customFormat="false" ht="15" hidden="false" customHeight="false" outlineLevel="0" collapsed="false">
      <c r="A7" s="5" t="n">
        <v>4</v>
      </c>
      <c r="B7" s="5" t="n">
        <f aca="false">ROUND(D6*Assumptions!$B$28,0)</f>
        <v>2</v>
      </c>
      <c r="C7" s="5" t="n">
        <f aca="false">ROUND(D6*Assumptions!$B$26,0)</f>
        <v>1</v>
      </c>
      <c r="D7" s="5" t="n">
        <f aca="false">D6+B7-C7</f>
        <v>13</v>
      </c>
      <c r="E7" s="5" t="n">
        <f aca="false">ROUND(D7*Assumptions!$B$9,0)</f>
        <v>8</v>
      </c>
      <c r="F7" s="5" t="n">
        <f aca="false">ROUND(D7*Assumptions!$B$10,0)</f>
        <v>4</v>
      </c>
      <c r="G7" s="5" t="n">
        <f aca="false">D7-E7-F7</f>
        <v>1</v>
      </c>
      <c r="H7" s="11" t="n">
        <f aca="false">E7*Assumptions!$B$6+F7*Assumptions!$B$7+G7*Assumptions!$B$8</f>
        <v>987</v>
      </c>
      <c r="I7" s="11" t="n">
        <f aca="false">H7*Assumptions!$B$20+D7*Assumptions!$B$21</f>
        <v>32.523</v>
      </c>
      <c r="J7" s="11" t="n">
        <f aca="false">Assumptions!$B$16+Assumptions!$B$17+Assumptions!$B$18+Assumptions!$B$19</f>
        <v>101</v>
      </c>
      <c r="K7" s="11" t="n">
        <f aca="false">H7-I7-J7</f>
        <v>853.477</v>
      </c>
      <c r="L7" s="11" t="n">
        <f aca="false">L6+H7</f>
        <v>3554</v>
      </c>
      <c r="M7" s="11" t="n">
        <f aca="false">M6+K7</f>
        <v>3033.134</v>
      </c>
    </row>
    <row r="8" customFormat="false" ht="15" hidden="false" customHeight="false" outlineLevel="0" collapsed="false">
      <c r="A8" s="5" t="n">
        <v>5</v>
      </c>
      <c r="B8" s="5" t="n">
        <f aca="false">ROUND(D7*Assumptions!$B$28,0)</f>
        <v>2</v>
      </c>
      <c r="C8" s="5" t="n">
        <f aca="false">ROUND(D7*Assumptions!$B$26,0)</f>
        <v>1</v>
      </c>
      <c r="D8" s="5" t="n">
        <f aca="false">D7+B8-C8</f>
        <v>14</v>
      </c>
      <c r="E8" s="5" t="n">
        <f aca="false">ROUND(D8*Assumptions!$B$9,0)</f>
        <v>8</v>
      </c>
      <c r="F8" s="5" t="n">
        <f aca="false">ROUND(D8*Assumptions!$B$10,0)</f>
        <v>4</v>
      </c>
      <c r="G8" s="5" t="n">
        <f aca="false">D8-E8-F8</f>
        <v>2</v>
      </c>
      <c r="H8" s="11" t="n">
        <f aca="false">E8*Assumptions!$B$6+F8*Assumptions!$B$7+G8*Assumptions!$B$8</f>
        <v>1186</v>
      </c>
      <c r="I8" s="11" t="n">
        <f aca="false">H8*Assumptions!$B$20+D8*Assumptions!$B$21</f>
        <v>38.594</v>
      </c>
      <c r="J8" s="11" t="n">
        <f aca="false">Assumptions!$B$16+Assumptions!$B$17+Assumptions!$B$18+Assumptions!$B$19</f>
        <v>101</v>
      </c>
      <c r="K8" s="11" t="n">
        <f aca="false">H8-I8-J8</f>
        <v>1046.406</v>
      </c>
      <c r="L8" s="11" t="n">
        <f aca="false">L7+H8</f>
        <v>4740</v>
      </c>
      <c r="M8" s="11" t="n">
        <f aca="false">M7+K8</f>
        <v>4079.54</v>
      </c>
    </row>
    <row r="9" customFormat="false" ht="15" hidden="false" customHeight="false" outlineLevel="0" collapsed="false">
      <c r="A9" s="5" t="n">
        <v>6</v>
      </c>
      <c r="B9" s="5" t="n">
        <f aca="false">ROUND(D8*Assumptions!$B$28,0)</f>
        <v>2</v>
      </c>
      <c r="C9" s="5" t="n">
        <f aca="false">ROUND(D8*Assumptions!$B$26,0)</f>
        <v>1</v>
      </c>
      <c r="D9" s="5" t="n">
        <f aca="false">D8+B9-C9</f>
        <v>15</v>
      </c>
      <c r="E9" s="5" t="n">
        <f aca="false">ROUND(D9*Assumptions!$B$9,0)</f>
        <v>9</v>
      </c>
      <c r="F9" s="5" t="n">
        <f aca="false">ROUND(D9*Assumptions!$B$10,0)</f>
        <v>5</v>
      </c>
      <c r="G9" s="5" t="n">
        <f aca="false">D9-E9-F9</f>
        <v>1</v>
      </c>
      <c r="H9" s="11" t="n">
        <f aca="false">E9*Assumptions!$B$6+F9*Assumptions!$B$7+G9*Assumptions!$B$8</f>
        <v>1135</v>
      </c>
      <c r="I9" s="11" t="n">
        <f aca="false">H9*Assumptions!$B$20+D9*Assumptions!$B$21</f>
        <v>37.415</v>
      </c>
      <c r="J9" s="11" t="n">
        <f aca="false">Assumptions!$B$16+Assumptions!$B$17+Assumptions!$B$18+Assumptions!$B$19</f>
        <v>101</v>
      </c>
      <c r="K9" s="11" t="n">
        <f aca="false">H9-I9-J9</f>
        <v>996.585</v>
      </c>
      <c r="L9" s="11" t="n">
        <f aca="false">L8+H9</f>
        <v>5875</v>
      </c>
      <c r="M9" s="11" t="n">
        <f aca="false">M8+K9</f>
        <v>5076.125</v>
      </c>
    </row>
    <row r="10" customFormat="false" ht="15" hidden="false" customHeight="false" outlineLevel="0" collapsed="false">
      <c r="A10" s="12" t="n">
        <v>7</v>
      </c>
      <c r="B10" s="12" t="n">
        <f aca="false">ROUND(D9*Assumptions!$B$28,0)</f>
        <v>2</v>
      </c>
      <c r="C10" s="12" t="n">
        <f aca="false">ROUND(D9*Assumptions!$B$26,0)</f>
        <v>2</v>
      </c>
      <c r="D10" s="12" t="n">
        <f aca="false">D9+B10-C10</f>
        <v>15</v>
      </c>
      <c r="E10" s="12" t="n">
        <f aca="false">ROUND(D10*Assumptions!$B$9,0)</f>
        <v>9</v>
      </c>
      <c r="F10" s="12" t="n">
        <f aca="false">ROUND(D10*Assumptions!$B$10,0)</f>
        <v>5</v>
      </c>
      <c r="G10" s="12" t="n">
        <f aca="false">D10-E10-F10</f>
        <v>1</v>
      </c>
      <c r="H10" s="13" t="n">
        <f aca="false">E10*Assumptions!$B$6+F10*Assumptions!$B$7+G10*Assumptions!$B$8</f>
        <v>1135</v>
      </c>
      <c r="I10" s="13" t="n">
        <f aca="false">H10*Assumptions!$B$20+D10*Assumptions!$B$21</f>
        <v>37.415</v>
      </c>
      <c r="J10" s="13" t="n">
        <f aca="false">Assumptions!$B$16+Assumptions!$B$17+Assumptions!$B$18+Assumptions!$B$19</f>
        <v>101</v>
      </c>
      <c r="K10" s="13" t="n">
        <f aca="false">H10-I10-J10</f>
        <v>996.585</v>
      </c>
      <c r="L10" s="13" t="n">
        <f aca="false">L9+H10</f>
        <v>7010</v>
      </c>
      <c r="M10" s="13" t="n">
        <f aca="false">M9+K10</f>
        <v>6072.71</v>
      </c>
    </row>
    <row r="11" customFormat="false" ht="15" hidden="false" customHeight="false" outlineLevel="0" collapsed="false">
      <c r="A11" s="5" t="n">
        <v>8</v>
      </c>
      <c r="B11" s="5" t="n">
        <f aca="false">ROUND(D10*Assumptions!$B$28,0)</f>
        <v>2</v>
      </c>
      <c r="C11" s="5" t="n">
        <f aca="false">ROUND(D10*Assumptions!$B$26,0)</f>
        <v>2</v>
      </c>
      <c r="D11" s="5" t="n">
        <f aca="false">D10+B11-C11</f>
        <v>15</v>
      </c>
      <c r="E11" s="5" t="n">
        <f aca="false">ROUND(D11*Assumptions!$B$9,0)</f>
        <v>9</v>
      </c>
      <c r="F11" s="5" t="n">
        <f aca="false">ROUND(D11*Assumptions!$B$10,0)</f>
        <v>5</v>
      </c>
      <c r="G11" s="5" t="n">
        <f aca="false">D11-E11-F11</f>
        <v>1</v>
      </c>
      <c r="H11" s="11" t="n">
        <f aca="false">E11*Assumptions!$B$6+F11*Assumptions!$B$7+G11*Assumptions!$B$8</f>
        <v>1135</v>
      </c>
      <c r="I11" s="11" t="n">
        <f aca="false">H11*Assumptions!$B$20+D11*Assumptions!$B$21</f>
        <v>37.415</v>
      </c>
      <c r="J11" s="11" t="n">
        <f aca="false">Assumptions!$B$16+Assumptions!$B$17+Assumptions!$B$18+Assumptions!$B$19</f>
        <v>101</v>
      </c>
      <c r="K11" s="11" t="n">
        <f aca="false">H11-I11-J11</f>
        <v>996.585</v>
      </c>
      <c r="L11" s="11" t="n">
        <f aca="false">L10+H11</f>
        <v>8145</v>
      </c>
      <c r="M11" s="11" t="n">
        <f aca="false">M10+K11</f>
        <v>7069.295</v>
      </c>
    </row>
    <row r="12" customFormat="false" ht="15" hidden="false" customHeight="false" outlineLevel="0" collapsed="false">
      <c r="A12" s="5" t="n">
        <v>9</v>
      </c>
      <c r="B12" s="5" t="n">
        <f aca="false">ROUND(D11*Assumptions!$B$28,0)</f>
        <v>2</v>
      </c>
      <c r="C12" s="5" t="n">
        <f aca="false">ROUND(D11*Assumptions!$B$26,0)</f>
        <v>2</v>
      </c>
      <c r="D12" s="5" t="n">
        <f aca="false">D11+B12-C12</f>
        <v>15</v>
      </c>
      <c r="E12" s="5" t="n">
        <f aca="false">ROUND(D12*Assumptions!$B$9,0)</f>
        <v>9</v>
      </c>
      <c r="F12" s="5" t="n">
        <f aca="false">ROUND(D12*Assumptions!$B$10,0)</f>
        <v>5</v>
      </c>
      <c r="G12" s="5" t="n">
        <f aca="false">D12-E12-F12</f>
        <v>1</v>
      </c>
      <c r="H12" s="11" t="n">
        <f aca="false">E12*Assumptions!$B$6+F12*Assumptions!$B$7+G12*Assumptions!$B$8</f>
        <v>1135</v>
      </c>
      <c r="I12" s="11" t="n">
        <f aca="false">H12*Assumptions!$B$20+D12*Assumptions!$B$21</f>
        <v>37.415</v>
      </c>
      <c r="J12" s="11" t="n">
        <f aca="false">Assumptions!$B$16+Assumptions!$B$17+Assumptions!$B$18+Assumptions!$B$19</f>
        <v>101</v>
      </c>
      <c r="K12" s="11" t="n">
        <f aca="false">H12-I12-J12</f>
        <v>996.585</v>
      </c>
      <c r="L12" s="11" t="n">
        <f aca="false">L11+H12</f>
        <v>9280</v>
      </c>
      <c r="M12" s="11" t="n">
        <f aca="false">M11+K12</f>
        <v>8065.88</v>
      </c>
    </row>
    <row r="13" customFormat="false" ht="15" hidden="false" customHeight="false" outlineLevel="0" collapsed="false">
      <c r="A13" s="5" t="n">
        <v>10</v>
      </c>
      <c r="B13" s="5" t="n">
        <f aca="false">ROUND(D12*Assumptions!$B$28,0)</f>
        <v>2</v>
      </c>
      <c r="C13" s="5" t="n">
        <f aca="false">ROUND(D12*Assumptions!$B$26,0)</f>
        <v>2</v>
      </c>
      <c r="D13" s="5" t="n">
        <f aca="false">D12+B13-C13</f>
        <v>15</v>
      </c>
      <c r="E13" s="5" t="n">
        <f aca="false">ROUND(D13*Assumptions!$B$9,0)</f>
        <v>9</v>
      </c>
      <c r="F13" s="5" t="n">
        <f aca="false">ROUND(D13*Assumptions!$B$10,0)</f>
        <v>5</v>
      </c>
      <c r="G13" s="5" t="n">
        <f aca="false">D13-E13-F13</f>
        <v>1</v>
      </c>
      <c r="H13" s="11" t="n">
        <f aca="false">E13*Assumptions!$B$6+F13*Assumptions!$B$7+G13*Assumptions!$B$8</f>
        <v>1135</v>
      </c>
      <c r="I13" s="11" t="n">
        <f aca="false">H13*Assumptions!$B$20+D13*Assumptions!$B$21</f>
        <v>37.415</v>
      </c>
      <c r="J13" s="11" t="n">
        <f aca="false">Assumptions!$B$16+Assumptions!$B$17+Assumptions!$B$18+Assumptions!$B$19</f>
        <v>101</v>
      </c>
      <c r="K13" s="11" t="n">
        <f aca="false">H13-I13-J13</f>
        <v>996.585</v>
      </c>
      <c r="L13" s="11" t="n">
        <f aca="false">L12+H13</f>
        <v>10415</v>
      </c>
      <c r="M13" s="11" t="n">
        <f aca="false">M12+K13</f>
        <v>9062.465</v>
      </c>
    </row>
    <row r="14" customFormat="false" ht="15" hidden="false" customHeight="false" outlineLevel="0" collapsed="false">
      <c r="A14" s="5" t="n">
        <v>11</v>
      </c>
      <c r="B14" s="5" t="n">
        <f aca="false">ROUND(D13*Assumptions!$B$28,0)</f>
        <v>2</v>
      </c>
      <c r="C14" s="5" t="n">
        <f aca="false">ROUND(D13*Assumptions!$B$26,0)</f>
        <v>2</v>
      </c>
      <c r="D14" s="5" t="n">
        <f aca="false">D13+B14-C14</f>
        <v>15</v>
      </c>
      <c r="E14" s="5" t="n">
        <f aca="false">ROUND(D14*Assumptions!$B$9,0)</f>
        <v>9</v>
      </c>
      <c r="F14" s="5" t="n">
        <f aca="false">ROUND(D14*Assumptions!$B$10,0)</f>
        <v>5</v>
      </c>
      <c r="G14" s="5" t="n">
        <f aca="false">D14-E14-F14</f>
        <v>1</v>
      </c>
      <c r="H14" s="11" t="n">
        <f aca="false">E14*Assumptions!$B$6+F14*Assumptions!$B$7+G14*Assumptions!$B$8</f>
        <v>1135</v>
      </c>
      <c r="I14" s="11" t="n">
        <f aca="false">H14*Assumptions!$B$20+D14*Assumptions!$B$21</f>
        <v>37.415</v>
      </c>
      <c r="J14" s="11" t="n">
        <f aca="false">Assumptions!$B$16+Assumptions!$B$17+Assumptions!$B$18+Assumptions!$B$19</f>
        <v>101</v>
      </c>
      <c r="K14" s="11" t="n">
        <f aca="false">H14-I14-J14</f>
        <v>996.585</v>
      </c>
      <c r="L14" s="11" t="n">
        <f aca="false">L13+H14</f>
        <v>11550</v>
      </c>
      <c r="M14" s="11" t="n">
        <f aca="false">M13+K14</f>
        <v>10059.05</v>
      </c>
    </row>
    <row r="15" customFormat="false" ht="15" hidden="false" customHeight="false" outlineLevel="0" collapsed="false">
      <c r="A15" s="5" t="n">
        <v>12</v>
      </c>
      <c r="B15" s="5" t="n">
        <f aca="false">ROUND(D14*Assumptions!$B$28,0)</f>
        <v>2</v>
      </c>
      <c r="C15" s="5" t="n">
        <f aca="false">ROUND(D14*Assumptions!$B$26,0)</f>
        <v>2</v>
      </c>
      <c r="D15" s="5" t="n">
        <f aca="false">D14+B15-C15</f>
        <v>15</v>
      </c>
      <c r="E15" s="5" t="n">
        <f aca="false">ROUND(D15*Assumptions!$B$9,0)</f>
        <v>9</v>
      </c>
      <c r="F15" s="5" t="n">
        <f aca="false">ROUND(D15*Assumptions!$B$10,0)</f>
        <v>5</v>
      </c>
      <c r="G15" s="5" t="n">
        <f aca="false">D15-E15-F15</f>
        <v>1</v>
      </c>
      <c r="H15" s="11" t="n">
        <f aca="false">E15*Assumptions!$B$6+F15*Assumptions!$B$7+G15*Assumptions!$B$8</f>
        <v>1135</v>
      </c>
      <c r="I15" s="11" t="n">
        <f aca="false">H15*Assumptions!$B$20+D15*Assumptions!$B$21</f>
        <v>37.415</v>
      </c>
      <c r="J15" s="11" t="n">
        <f aca="false">Assumptions!$B$16+Assumptions!$B$17+Assumptions!$B$18+Assumptions!$B$19</f>
        <v>101</v>
      </c>
      <c r="K15" s="11" t="n">
        <f aca="false">H15-I15-J15</f>
        <v>996.585</v>
      </c>
      <c r="L15" s="11" t="n">
        <f aca="false">L14+H15</f>
        <v>12685</v>
      </c>
      <c r="M15" s="11" t="n">
        <f aca="false">M14+K15</f>
        <v>11055.635</v>
      </c>
    </row>
    <row r="16" customFormat="false" ht="15" hidden="false" customHeight="false" outlineLevel="0" collapsed="false">
      <c r="A16" s="12" t="n">
        <v>13</v>
      </c>
      <c r="B16" s="12" t="n">
        <f aca="false">ROUND(D15*Assumptions!$B$28,0)</f>
        <v>2</v>
      </c>
      <c r="C16" s="12" t="n">
        <f aca="false">ROUND(D15*Assumptions!$B$26,0)</f>
        <v>2</v>
      </c>
      <c r="D16" s="12" t="n">
        <f aca="false">D15+B16-C16</f>
        <v>15</v>
      </c>
      <c r="E16" s="12" t="n">
        <f aca="false">ROUND(D16*Assumptions!$B$9,0)</f>
        <v>9</v>
      </c>
      <c r="F16" s="12" t="n">
        <f aca="false">ROUND(D16*Assumptions!$B$10,0)</f>
        <v>5</v>
      </c>
      <c r="G16" s="12" t="n">
        <f aca="false">D16-E16-F16</f>
        <v>1</v>
      </c>
      <c r="H16" s="13" t="n">
        <f aca="false">E16*Assumptions!$B$6+F16*Assumptions!$B$7+G16*Assumptions!$B$8</f>
        <v>1135</v>
      </c>
      <c r="I16" s="13" t="n">
        <f aca="false">H16*Assumptions!$B$20+D16*Assumptions!$B$21</f>
        <v>37.415</v>
      </c>
      <c r="J16" s="13" t="n">
        <f aca="false">Assumptions!$B$16+Assumptions!$B$17+Assumptions!$B$18+Assumptions!$B$19</f>
        <v>101</v>
      </c>
      <c r="K16" s="13" t="n">
        <f aca="false">H16-I16-J16</f>
        <v>996.585</v>
      </c>
      <c r="L16" s="13" t="n">
        <f aca="false">L15+H16</f>
        <v>13820</v>
      </c>
      <c r="M16" s="13" t="n">
        <f aca="false">M15+K16</f>
        <v>12052.22</v>
      </c>
    </row>
    <row r="17" customFormat="false" ht="15" hidden="false" customHeight="false" outlineLevel="0" collapsed="false">
      <c r="A17" s="5" t="n">
        <v>14</v>
      </c>
      <c r="B17" s="5" t="n">
        <f aca="false">ROUND(D16*Assumptions!$B$28,0)</f>
        <v>2</v>
      </c>
      <c r="C17" s="5" t="n">
        <f aca="false">ROUND(D16*Assumptions!$B$26,0)</f>
        <v>2</v>
      </c>
      <c r="D17" s="5" t="n">
        <f aca="false">D16+B17-C17</f>
        <v>15</v>
      </c>
      <c r="E17" s="5" t="n">
        <f aca="false">ROUND(D17*Assumptions!$B$9,0)</f>
        <v>9</v>
      </c>
      <c r="F17" s="5" t="n">
        <f aca="false">ROUND(D17*Assumptions!$B$10,0)</f>
        <v>5</v>
      </c>
      <c r="G17" s="5" t="n">
        <f aca="false">D17-E17-F17</f>
        <v>1</v>
      </c>
      <c r="H17" s="11" t="n">
        <f aca="false">E17*Assumptions!$B$6+F17*Assumptions!$B$7+G17*Assumptions!$B$8</f>
        <v>1135</v>
      </c>
      <c r="I17" s="11" t="n">
        <f aca="false">H17*Assumptions!$B$20+D17*Assumptions!$B$21</f>
        <v>37.415</v>
      </c>
      <c r="J17" s="11" t="n">
        <f aca="false">Assumptions!$B$16+Assumptions!$B$17+Assumptions!$B$18+Assumptions!$B$19</f>
        <v>101</v>
      </c>
      <c r="K17" s="11" t="n">
        <f aca="false">H17-I17-J17</f>
        <v>996.585</v>
      </c>
      <c r="L17" s="11" t="n">
        <f aca="false">L16+H17</f>
        <v>14955</v>
      </c>
      <c r="M17" s="11" t="n">
        <f aca="false">M16+K17</f>
        <v>13048.805</v>
      </c>
    </row>
    <row r="18" customFormat="false" ht="15" hidden="false" customHeight="false" outlineLevel="0" collapsed="false">
      <c r="A18" s="5" t="n">
        <v>15</v>
      </c>
      <c r="B18" s="5" t="n">
        <f aca="false">ROUND(D17*Assumptions!$B$28,0)</f>
        <v>2</v>
      </c>
      <c r="C18" s="5" t="n">
        <f aca="false">ROUND(D17*Assumptions!$B$26,0)</f>
        <v>2</v>
      </c>
      <c r="D18" s="5" t="n">
        <f aca="false">D17+B18-C18</f>
        <v>15</v>
      </c>
      <c r="E18" s="5" t="n">
        <f aca="false">ROUND(D18*Assumptions!$B$9,0)</f>
        <v>9</v>
      </c>
      <c r="F18" s="5" t="n">
        <f aca="false">ROUND(D18*Assumptions!$B$10,0)</f>
        <v>5</v>
      </c>
      <c r="G18" s="5" t="n">
        <f aca="false">D18-E18-F18</f>
        <v>1</v>
      </c>
      <c r="H18" s="11" t="n">
        <f aca="false">E18*Assumptions!$B$6+F18*Assumptions!$B$7+G18*Assumptions!$B$8</f>
        <v>1135</v>
      </c>
      <c r="I18" s="11" t="n">
        <f aca="false">H18*Assumptions!$B$20+D18*Assumptions!$B$21</f>
        <v>37.415</v>
      </c>
      <c r="J18" s="11" t="n">
        <f aca="false">Assumptions!$B$16+Assumptions!$B$17+Assumptions!$B$18+Assumptions!$B$19</f>
        <v>101</v>
      </c>
      <c r="K18" s="11" t="n">
        <f aca="false">H18-I18-J18</f>
        <v>996.585</v>
      </c>
      <c r="L18" s="11" t="n">
        <f aca="false">L17+H18</f>
        <v>16090</v>
      </c>
      <c r="M18" s="11" t="n">
        <f aca="false">M17+K18</f>
        <v>14045.39</v>
      </c>
    </row>
    <row r="19" customFormat="false" ht="15" hidden="false" customHeight="false" outlineLevel="0" collapsed="false">
      <c r="A19" s="5" t="n">
        <v>16</v>
      </c>
      <c r="B19" s="5" t="n">
        <f aca="false">ROUND(D18*Assumptions!$B$28,0)</f>
        <v>2</v>
      </c>
      <c r="C19" s="5" t="n">
        <f aca="false">ROUND(D18*Assumptions!$B$26,0)</f>
        <v>2</v>
      </c>
      <c r="D19" s="5" t="n">
        <f aca="false">D18+B19-C19</f>
        <v>15</v>
      </c>
      <c r="E19" s="5" t="n">
        <f aca="false">ROUND(D19*Assumptions!$B$9,0)</f>
        <v>9</v>
      </c>
      <c r="F19" s="5" t="n">
        <f aca="false">ROUND(D19*Assumptions!$B$10,0)</f>
        <v>5</v>
      </c>
      <c r="G19" s="5" t="n">
        <f aca="false">D19-E19-F19</f>
        <v>1</v>
      </c>
      <c r="H19" s="11" t="n">
        <f aca="false">E19*Assumptions!$B$6+F19*Assumptions!$B$7+G19*Assumptions!$B$8</f>
        <v>1135</v>
      </c>
      <c r="I19" s="11" t="n">
        <f aca="false">H19*Assumptions!$B$20+D19*Assumptions!$B$21</f>
        <v>37.415</v>
      </c>
      <c r="J19" s="11" t="n">
        <f aca="false">Assumptions!$B$16+Assumptions!$B$17+Assumptions!$B$18+Assumptions!$B$19</f>
        <v>101</v>
      </c>
      <c r="K19" s="11" t="n">
        <f aca="false">H19-I19-J19</f>
        <v>996.585</v>
      </c>
      <c r="L19" s="11" t="n">
        <f aca="false">L18+H19</f>
        <v>17225</v>
      </c>
      <c r="M19" s="11" t="n">
        <f aca="false">M18+K19</f>
        <v>15041.975</v>
      </c>
    </row>
    <row r="20" customFormat="false" ht="15" hidden="false" customHeight="false" outlineLevel="0" collapsed="false">
      <c r="A20" s="5" t="n">
        <v>17</v>
      </c>
      <c r="B20" s="5" t="n">
        <f aca="false">ROUND(D19*Assumptions!$B$28,0)</f>
        <v>2</v>
      </c>
      <c r="C20" s="5" t="n">
        <f aca="false">ROUND(D19*Assumptions!$B$26,0)</f>
        <v>2</v>
      </c>
      <c r="D20" s="5" t="n">
        <f aca="false">D19+B20-C20</f>
        <v>15</v>
      </c>
      <c r="E20" s="5" t="n">
        <f aca="false">ROUND(D20*Assumptions!$B$9,0)</f>
        <v>9</v>
      </c>
      <c r="F20" s="5" t="n">
        <f aca="false">ROUND(D20*Assumptions!$B$10,0)</f>
        <v>5</v>
      </c>
      <c r="G20" s="5" t="n">
        <f aca="false">D20-E20-F20</f>
        <v>1</v>
      </c>
      <c r="H20" s="11" t="n">
        <f aca="false">E20*Assumptions!$B$6+F20*Assumptions!$B$7+G20*Assumptions!$B$8</f>
        <v>1135</v>
      </c>
      <c r="I20" s="11" t="n">
        <f aca="false">H20*Assumptions!$B$20+D20*Assumptions!$B$21</f>
        <v>37.415</v>
      </c>
      <c r="J20" s="11" t="n">
        <f aca="false">Assumptions!$B$16+Assumptions!$B$17+Assumptions!$B$18+Assumptions!$B$19</f>
        <v>101</v>
      </c>
      <c r="K20" s="11" t="n">
        <f aca="false">H20-I20-J20</f>
        <v>996.585</v>
      </c>
      <c r="L20" s="11" t="n">
        <f aca="false">L19+H20</f>
        <v>18360</v>
      </c>
      <c r="M20" s="11" t="n">
        <f aca="false">M19+K20</f>
        <v>16038.56</v>
      </c>
    </row>
    <row r="21" customFormat="false" ht="15" hidden="false" customHeight="false" outlineLevel="0" collapsed="false">
      <c r="A21" s="5" t="n">
        <v>18</v>
      </c>
      <c r="B21" s="5" t="n">
        <f aca="false">ROUND(D20*Assumptions!$B$28,0)</f>
        <v>2</v>
      </c>
      <c r="C21" s="5" t="n">
        <f aca="false">ROUND(D20*Assumptions!$B$26,0)</f>
        <v>2</v>
      </c>
      <c r="D21" s="5" t="n">
        <f aca="false">D20+B21-C21</f>
        <v>15</v>
      </c>
      <c r="E21" s="5" t="n">
        <f aca="false">ROUND(D21*Assumptions!$B$9,0)</f>
        <v>9</v>
      </c>
      <c r="F21" s="5" t="n">
        <f aca="false">ROUND(D21*Assumptions!$B$10,0)</f>
        <v>5</v>
      </c>
      <c r="G21" s="5" t="n">
        <f aca="false">D21-E21-F21</f>
        <v>1</v>
      </c>
      <c r="H21" s="11" t="n">
        <f aca="false">E21*Assumptions!$B$6+F21*Assumptions!$B$7+G21*Assumptions!$B$8</f>
        <v>1135</v>
      </c>
      <c r="I21" s="11" t="n">
        <f aca="false">H21*Assumptions!$B$20+D21*Assumptions!$B$21</f>
        <v>37.415</v>
      </c>
      <c r="J21" s="11" t="n">
        <f aca="false">Assumptions!$B$16+Assumptions!$B$17+Assumptions!$B$18+Assumptions!$B$19</f>
        <v>101</v>
      </c>
      <c r="K21" s="11" t="n">
        <f aca="false">H21-I21-J21</f>
        <v>996.585</v>
      </c>
      <c r="L21" s="11" t="n">
        <f aca="false">L20+H21</f>
        <v>19495</v>
      </c>
      <c r="M21" s="11" t="n">
        <f aca="false">M20+K21</f>
        <v>17035.145</v>
      </c>
    </row>
    <row r="22" customFormat="false" ht="15" hidden="false" customHeight="false" outlineLevel="0" collapsed="false">
      <c r="A22" s="12" t="n">
        <v>19</v>
      </c>
      <c r="B22" s="12" t="n">
        <f aca="false">ROUND(D21*Assumptions!$B$28,0)</f>
        <v>2</v>
      </c>
      <c r="C22" s="12" t="n">
        <f aca="false">ROUND(D21*Assumptions!$B$26,0)</f>
        <v>2</v>
      </c>
      <c r="D22" s="12" t="n">
        <f aca="false">D21+B22-C22</f>
        <v>15</v>
      </c>
      <c r="E22" s="12" t="n">
        <f aca="false">ROUND(D22*Assumptions!$B$9,0)</f>
        <v>9</v>
      </c>
      <c r="F22" s="12" t="n">
        <f aca="false">ROUND(D22*Assumptions!$B$10,0)</f>
        <v>5</v>
      </c>
      <c r="G22" s="12" t="n">
        <f aca="false">D22-E22-F22</f>
        <v>1</v>
      </c>
      <c r="H22" s="13" t="n">
        <f aca="false">E22*Assumptions!$B$6+F22*Assumptions!$B$7+G22*Assumptions!$B$8</f>
        <v>1135</v>
      </c>
      <c r="I22" s="13" t="n">
        <f aca="false">H22*Assumptions!$B$20+D22*Assumptions!$B$21</f>
        <v>37.415</v>
      </c>
      <c r="J22" s="13" t="n">
        <f aca="false">Assumptions!$B$16+Assumptions!$B$17+Assumptions!$B$18+Assumptions!$B$19</f>
        <v>101</v>
      </c>
      <c r="K22" s="13" t="n">
        <f aca="false">H22-I22-J22</f>
        <v>996.585</v>
      </c>
      <c r="L22" s="13" t="n">
        <f aca="false">L21+H22</f>
        <v>20630</v>
      </c>
      <c r="M22" s="13" t="n">
        <f aca="false">M21+K22</f>
        <v>18031.73</v>
      </c>
    </row>
    <row r="23" customFormat="false" ht="15" hidden="false" customHeight="false" outlineLevel="0" collapsed="false">
      <c r="A23" s="5" t="n">
        <v>20</v>
      </c>
      <c r="B23" s="5" t="n">
        <f aca="false">ROUND(D22*Assumptions!$B$28,0)</f>
        <v>2</v>
      </c>
      <c r="C23" s="5" t="n">
        <f aca="false">ROUND(D22*Assumptions!$B$26,0)</f>
        <v>2</v>
      </c>
      <c r="D23" s="5" t="n">
        <f aca="false">D22+B23-C23</f>
        <v>15</v>
      </c>
      <c r="E23" s="5" t="n">
        <f aca="false">ROUND(D23*Assumptions!$B$9,0)</f>
        <v>9</v>
      </c>
      <c r="F23" s="5" t="n">
        <f aca="false">ROUND(D23*Assumptions!$B$10,0)</f>
        <v>5</v>
      </c>
      <c r="G23" s="5" t="n">
        <f aca="false">D23-E23-F23</f>
        <v>1</v>
      </c>
      <c r="H23" s="11" t="n">
        <f aca="false">E23*Assumptions!$B$6+F23*Assumptions!$B$7+G23*Assumptions!$B$8</f>
        <v>1135</v>
      </c>
      <c r="I23" s="11" t="n">
        <f aca="false">H23*Assumptions!$B$20+D23*Assumptions!$B$21</f>
        <v>37.415</v>
      </c>
      <c r="J23" s="11" t="n">
        <f aca="false">Assumptions!$B$16+Assumptions!$B$17+Assumptions!$B$18+Assumptions!$B$19</f>
        <v>101</v>
      </c>
      <c r="K23" s="11" t="n">
        <f aca="false">H23-I23-J23</f>
        <v>996.585</v>
      </c>
      <c r="L23" s="11" t="n">
        <f aca="false">L22+H23</f>
        <v>21765</v>
      </c>
      <c r="M23" s="11" t="n">
        <f aca="false">M22+K23</f>
        <v>19028.315</v>
      </c>
    </row>
    <row r="24" customFormat="false" ht="15" hidden="false" customHeight="false" outlineLevel="0" collapsed="false">
      <c r="A24" s="5" t="n">
        <v>21</v>
      </c>
      <c r="B24" s="5" t="n">
        <f aca="false">ROUND(D23*Assumptions!$B$28,0)</f>
        <v>2</v>
      </c>
      <c r="C24" s="5" t="n">
        <f aca="false">ROUND(D23*Assumptions!$B$26,0)</f>
        <v>2</v>
      </c>
      <c r="D24" s="5" t="n">
        <f aca="false">D23+B24-C24</f>
        <v>15</v>
      </c>
      <c r="E24" s="5" t="n">
        <f aca="false">ROUND(D24*Assumptions!$B$9,0)</f>
        <v>9</v>
      </c>
      <c r="F24" s="5" t="n">
        <f aca="false">ROUND(D24*Assumptions!$B$10,0)</f>
        <v>5</v>
      </c>
      <c r="G24" s="5" t="n">
        <f aca="false">D24-E24-F24</f>
        <v>1</v>
      </c>
      <c r="H24" s="11" t="n">
        <f aca="false">E24*Assumptions!$B$6+F24*Assumptions!$B$7+G24*Assumptions!$B$8</f>
        <v>1135</v>
      </c>
      <c r="I24" s="11" t="n">
        <f aca="false">H24*Assumptions!$B$20+D24*Assumptions!$B$21</f>
        <v>37.415</v>
      </c>
      <c r="J24" s="11" t="n">
        <f aca="false">Assumptions!$B$16+Assumptions!$B$17+Assumptions!$B$18+Assumptions!$B$19</f>
        <v>101</v>
      </c>
      <c r="K24" s="11" t="n">
        <f aca="false">H24-I24-J24</f>
        <v>996.585</v>
      </c>
      <c r="L24" s="11" t="n">
        <f aca="false">L23+H24</f>
        <v>22900</v>
      </c>
      <c r="M24" s="11" t="n">
        <f aca="false">M23+K24</f>
        <v>20024.9</v>
      </c>
    </row>
    <row r="25" customFormat="false" ht="15" hidden="false" customHeight="false" outlineLevel="0" collapsed="false">
      <c r="A25" s="5" t="n">
        <v>22</v>
      </c>
      <c r="B25" s="5" t="n">
        <f aca="false">ROUND(D24*Assumptions!$B$28,0)</f>
        <v>2</v>
      </c>
      <c r="C25" s="5" t="n">
        <f aca="false">ROUND(D24*Assumptions!$B$26,0)</f>
        <v>2</v>
      </c>
      <c r="D25" s="5" t="n">
        <f aca="false">D24+B25-C25</f>
        <v>15</v>
      </c>
      <c r="E25" s="5" t="n">
        <f aca="false">ROUND(D25*Assumptions!$B$9,0)</f>
        <v>9</v>
      </c>
      <c r="F25" s="5" t="n">
        <f aca="false">ROUND(D25*Assumptions!$B$10,0)</f>
        <v>5</v>
      </c>
      <c r="G25" s="5" t="n">
        <f aca="false">D25-E25-F25</f>
        <v>1</v>
      </c>
      <c r="H25" s="11" t="n">
        <f aca="false">E25*Assumptions!$B$6+F25*Assumptions!$B$7+G25*Assumptions!$B$8</f>
        <v>1135</v>
      </c>
      <c r="I25" s="11" t="n">
        <f aca="false">H25*Assumptions!$B$20+D25*Assumptions!$B$21</f>
        <v>37.415</v>
      </c>
      <c r="J25" s="11" t="n">
        <f aca="false">Assumptions!$B$16+Assumptions!$B$17+Assumptions!$B$18+Assumptions!$B$19</f>
        <v>101</v>
      </c>
      <c r="K25" s="11" t="n">
        <f aca="false">H25-I25-J25</f>
        <v>996.585</v>
      </c>
      <c r="L25" s="11" t="n">
        <f aca="false">L24+H25</f>
        <v>24035</v>
      </c>
      <c r="M25" s="11" t="n">
        <f aca="false">M24+K25</f>
        <v>21021.485</v>
      </c>
    </row>
    <row r="26" customFormat="false" ht="15" hidden="false" customHeight="false" outlineLevel="0" collapsed="false">
      <c r="A26" s="5" t="n">
        <v>23</v>
      </c>
      <c r="B26" s="5" t="n">
        <f aca="false">ROUND(D25*Assumptions!$B$28,0)</f>
        <v>2</v>
      </c>
      <c r="C26" s="5" t="n">
        <f aca="false">ROUND(D25*Assumptions!$B$26,0)</f>
        <v>2</v>
      </c>
      <c r="D26" s="5" t="n">
        <f aca="false">D25+B26-C26</f>
        <v>15</v>
      </c>
      <c r="E26" s="5" t="n">
        <f aca="false">ROUND(D26*Assumptions!$B$9,0)</f>
        <v>9</v>
      </c>
      <c r="F26" s="5" t="n">
        <f aca="false">ROUND(D26*Assumptions!$B$10,0)</f>
        <v>5</v>
      </c>
      <c r="G26" s="5" t="n">
        <f aca="false">D26-E26-F26</f>
        <v>1</v>
      </c>
      <c r="H26" s="11" t="n">
        <f aca="false">E26*Assumptions!$B$6+F26*Assumptions!$B$7+G26*Assumptions!$B$8</f>
        <v>1135</v>
      </c>
      <c r="I26" s="11" t="n">
        <f aca="false">H26*Assumptions!$B$20+D26*Assumptions!$B$21</f>
        <v>37.415</v>
      </c>
      <c r="J26" s="11" t="n">
        <f aca="false">Assumptions!$B$16+Assumptions!$B$17+Assumptions!$B$18+Assumptions!$B$19</f>
        <v>101</v>
      </c>
      <c r="K26" s="11" t="n">
        <f aca="false">H26-I26-J26</f>
        <v>996.585</v>
      </c>
      <c r="L26" s="11" t="n">
        <f aca="false">L25+H26</f>
        <v>25170</v>
      </c>
      <c r="M26" s="11" t="n">
        <f aca="false">M25+K26</f>
        <v>22018.07</v>
      </c>
    </row>
    <row r="27" customFormat="false" ht="15" hidden="false" customHeight="false" outlineLevel="0" collapsed="false">
      <c r="A27" s="12" t="n">
        <v>24</v>
      </c>
      <c r="B27" s="12" t="n">
        <f aca="false">ROUND(D26*Assumptions!$B$28,0)</f>
        <v>2</v>
      </c>
      <c r="C27" s="12" t="n">
        <f aca="false">ROUND(D26*Assumptions!$B$26,0)</f>
        <v>2</v>
      </c>
      <c r="D27" s="12" t="n">
        <f aca="false">D26+B27-C27</f>
        <v>15</v>
      </c>
      <c r="E27" s="12" t="n">
        <f aca="false">ROUND(D27*Assumptions!$B$9,0)</f>
        <v>9</v>
      </c>
      <c r="F27" s="12" t="n">
        <f aca="false">ROUND(D27*Assumptions!$B$10,0)</f>
        <v>5</v>
      </c>
      <c r="G27" s="12" t="n">
        <f aca="false">D27-E27-F27</f>
        <v>1</v>
      </c>
      <c r="H27" s="13" t="n">
        <f aca="false">E27*Assumptions!$B$6+F27*Assumptions!$B$7+G27*Assumptions!$B$8</f>
        <v>1135</v>
      </c>
      <c r="I27" s="13" t="n">
        <f aca="false">H27*Assumptions!$B$20+D27*Assumptions!$B$21</f>
        <v>37.415</v>
      </c>
      <c r="J27" s="13" t="n">
        <f aca="false">Assumptions!$B$16+Assumptions!$B$17+Assumptions!$B$18+Assumptions!$B$19</f>
        <v>101</v>
      </c>
      <c r="K27" s="13" t="n">
        <f aca="false">H27-I27-J27</f>
        <v>996.585</v>
      </c>
      <c r="L27" s="13" t="n">
        <f aca="false">L26+H27</f>
        <v>26305</v>
      </c>
      <c r="M27" s="13" t="n">
        <f aca="false">M26+K27</f>
        <v>23014.655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9.7" hidden="false" customHeight="false" outlineLevel="0" collapsed="false">
      <c r="A1" s="9" t="s">
        <v>90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4" t="s">
        <v>91</v>
      </c>
      <c r="B3" s="4" t="s">
        <v>92</v>
      </c>
      <c r="C3" s="4" t="s">
        <v>93</v>
      </c>
      <c r="D3" s="4" t="s">
        <v>94</v>
      </c>
      <c r="E3" s="4" t="s">
        <v>95</v>
      </c>
      <c r="F3" s="4" t="s">
        <v>96</v>
      </c>
    </row>
    <row r="4" customFormat="false" ht="15" hidden="false" customHeight="false" outlineLevel="0" collapsed="false">
      <c r="A4" s="5" t="s">
        <v>97</v>
      </c>
      <c r="B4" s="5" t="n">
        <v>4</v>
      </c>
      <c r="C4" s="11" t="n">
        <f aca="false">B4*Assumptions!B12</f>
        <v>316</v>
      </c>
      <c r="D4" s="11" t="n">
        <f aca="false">Assumptions!B16+Assumptions!B17+Assumptions!B18+Assumptions!B19</f>
        <v>101</v>
      </c>
      <c r="E4" s="11" t="n">
        <f aca="false">C4-D4</f>
        <v>215</v>
      </c>
      <c r="F4" s="11" t="n">
        <f aca="false">E4*12</f>
        <v>2580</v>
      </c>
    </row>
    <row r="5" customFormat="false" ht="15" hidden="false" customHeight="false" outlineLevel="0" collapsed="false">
      <c r="A5" s="5" t="s">
        <v>98</v>
      </c>
      <c r="B5" s="5" t="n">
        <v>50</v>
      </c>
      <c r="C5" s="11" t="n">
        <f aca="false">B5*Assumptions!B12</f>
        <v>3950</v>
      </c>
      <c r="D5" s="11" t="n">
        <f aca="false">Assumptions!B16+Assumptions!B17+Assumptions!B18+Assumptions!B19+C5*0.035</f>
        <v>239.25</v>
      </c>
      <c r="E5" s="11" t="n">
        <f aca="false">C5-D5</f>
        <v>3710.75</v>
      </c>
      <c r="F5" s="11" t="n">
        <f aca="false">E5*12</f>
        <v>44529</v>
      </c>
    </row>
    <row r="6" customFormat="false" ht="15" hidden="false" customHeight="false" outlineLevel="0" collapsed="false">
      <c r="A6" s="12" t="s">
        <v>99</v>
      </c>
      <c r="B6" s="12" t="n">
        <v>75</v>
      </c>
      <c r="C6" s="13" t="n">
        <f aca="false">B6*Assumptions!B12</f>
        <v>5925</v>
      </c>
      <c r="D6" s="13" t="n">
        <f aca="false">Assumptions!B16+Assumptions!B17+Assumptions!B18+Assumptions!B19+C6*0.035</f>
        <v>308.375</v>
      </c>
      <c r="E6" s="13" t="n">
        <f aca="false">C6-D6</f>
        <v>5616.625</v>
      </c>
      <c r="F6" s="13" t="n">
        <f aca="false">E6*12</f>
        <v>67399.5</v>
      </c>
    </row>
    <row r="7" customFormat="false" ht="15" hidden="false" customHeight="false" outlineLevel="0" collapsed="false">
      <c r="A7" s="5" t="s">
        <v>100</v>
      </c>
      <c r="B7" s="5" t="n">
        <v>100</v>
      </c>
      <c r="C7" s="11" t="n">
        <f aca="false">B7*Assumptions!B12</f>
        <v>7900</v>
      </c>
      <c r="D7" s="11" t="n">
        <f aca="false">Assumptions!B16+Assumptions!B17+Assumptions!B18+Assumptions!B19+C7*0.035</f>
        <v>377.5</v>
      </c>
      <c r="E7" s="11" t="n">
        <f aca="false">C7-D7</f>
        <v>7522.5</v>
      </c>
      <c r="F7" s="11" t="n">
        <f aca="false">E7*12</f>
        <v>90270</v>
      </c>
    </row>
    <row r="8" customFormat="false" ht="15" hidden="false" customHeight="false" outlineLevel="0" collapsed="false">
      <c r="A8" s="5" t="s">
        <v>101</v>
      </c>
      <c r="B8" s="5" t="n">
        <v>150</v>
      </c>
      <c r="C8" s="11" t="n">
        <f aca="false">B8*Assumptions!B12</f>
        <v>11850</v>
      </c>
      <c r="D8" s="11" t="n">
        <f aca="false">Assumptions!B16+Assumptions!B17+Assumptions!B18+Assumptions!B19+C8*0.035</f>
        <v>515.75</v>
      </c>
      <c r="E8" s="11" t="n">
        <f aca="false">C8-D8</f>
        <v>11334.25</v>
      </c>
      <c r="F8" s="11" t="n">
        <f aca="false">E8*12</f>
        <v>136011</v>
      </c>
    </row>
    <row r="11" customFormat="false" ht="15" hidden="false" customHeight="false" outlineLevel="0" collapsed="false">
      <c r="A11" s="3" t="s">
        <v>102</v>
      </c>
    </row>
    <row r="12" customFormat="false" ht="15" hidden="false" customHeight="false" outlineLevel="0" collapsed="false">
      <c r="A12" s="8" t="s">
        <v>103</v>
      </c>
      <c r="B12" s="8" t="s">
        <v>104</v>
      </c>
      <c r="C12" s="8" t="s">
        <v>105</v>
      </c>
      <c r="D12" s="8" t="s">
        <v>106</v>
      </c>
      <c r="E12" s="8" t="s">
        <v>6</v>
      </c>
    </row>
    <row r="13" customFormat="false" ht="15" hidden="false" customHeight="false" outlineLevel="0" collapsed="false">
      <c r="A13" s="5" t="s">
        <v>107</v>
      </c>
      <c r="B13" s="11" t="n">
        <v>3500</v>
      </c>
      <c r="C13" s="5" t="n">
        <v>0.6</v>
      </c>
      <c r="D13" s="11" t="n">
        <f aca="false">B13*C13</f>
        <v>2100</v>
      </c>
      <c r="E13" s="5" t="s">
        <v>108</v>
      </c>
    </row>
    <row r="14" customFormat="false" ht="15" hidden="false" customHeight="false" outlineLevel="0" collapsed="false">
      <c r="A14" s="5" t="s">
        <v>109</v>
      </c>
      <c r="B14" s="11" t="n">
        <v>1500</v>
      </c>
      <c r="C14" s="5" t="n">
        <v>0.4</v>
      </c>
      <c r="D14" s="11" t="n">
        <f aca="false">B14*C14</f>
        <v>600</v>
      </c>
      <c r="E14" s="5" t="s">
        <v>110</v>
      </c>
    </row>
    <row r="15" customFormat="false" ht="15" hidden="false" customHeight="false" outlineLevel="0" collapsed="false">
      <c r="A15" s="5" t="s">
        <v>111</v>
      </c>
      <c r="B15" s="11" t="n">
        <v>3000</v>
      </c>
      <c r="C15" s="5" t="n">
        <v>0.3</v>
      </c>
      <c r="D15" s="11" t="n">
        <f aca="false">B15*C15</f>
        <v>900</v>
      </c>
      <c r="E15" s="5" t="s">
        <v>112</v>
      </c>
    </row>
    <row r="16" customFormat="false" ht="15" hidden="false" customHeight="false" outlineLevel="0" collapsed="false">
      <c r="A16" s="5" t="s">
        <v>113</v>
      </c>
      <c r="B16" s="11" t="n">
        <v>75</v>
      </c>
      <c r="C16" s="5" t="n">
        <v>0.8</v>
      </c>
      <c r="D16" s="11" t="n">
        <f aca="false">B16*C16</f>
        <v>60</v>
      </c>
      <c r="E16" s="5" t="s">
        <v>114</v>
      </c>
    </row>
    <row r="17" customFormat="false" ht="15" hidden="false" customHeight="false" outlineLevel="0" collapsed="false">
      <c r="A17" s="14" t="s">
        <v>115</v>
      </c>
      <c r="B17" s="11" t="n">
        <f aca="false">SUM(B13:B16)</f>
        <v>8075</v>
      </c>
      <c r="C17" s="5"/>
      <c r="D17" s="11" t="n">
        <f aca="false">SUM(D13:D16)</f>
        <v>3660</v>
      </c>
      <c r="E17" s="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5"/>
  </cols>
  <sheetData>
    <row r="1" customFormat="false" ht="19.7" hidden="false" customHeight="false" outlineLevel="0" collapsed="false">
      <c r="A1" s="9" t="s">
        <v>116</v>
      </c>
      <c r="B1" s="9"/>
      <c r="C1" s="9"/>
      <c r="D1" s="9"/>
    </row>
    <row r="3" customFormat="false" ht="15" hidden="false" customHeight="false" outlineLevel="0" collapsed="false">
      <c r="A3" s="8" t="s">
        <v>117</v>
      </c>
      <c r="B3" s="8" t="s">
        <v>118</v>
      </c>
      <c r="C3" s="8" t="s">
        <v>119</v>
      </c>
      <c r="D3" s="8" t="s">
        <v>6</v>
      </c>
    </row>
    <row r="4" customFormat="false" ht="15" hidden="false" customHeight="false" outlineLevel="0" collapsed="false">
      <c r="A4" s="5" t="s">
        <v>120</v>
      </c>
      <c r="B4" s="5" t="n">
        <v>40</v>
      </c>
      <c r="C4" s="5" t="n">
        <v>40</v>
      </c>
      <c r="D4" s="5" t="s">
        <v>121</v>
      </c>
    </row>
    <row r="5" customFormat="false" ht="15" hidden="false" customHeight="false" outlineLevel="0" collapsed="false">
      <c r="A5" s="5" t="s">
        <v>122</v>
      </c>
      <c r="B5" s="5" t="n">
        <v>0</v>
      </c>
      <c r="C5" s="5" t="n">
        <v>40</v>
      </c>
      <c r="D5" s="5" t="s">
        <v>123</v>
      </c>
    </row>
    <row r="6" customFormat="false" ht="15" hidden="false" customHeight="false" outlineLevel="0" collapsed="false">
      <c r="A6" s="5" t="s">
        <v>124</v>
      </c>
      <c r="B6" s="5" t="n">
        <v>20</v>
      </c>
      <c r="C6" s="5" t="n">
        <v>20</v>
      </c>
      <c r="D6" s="5" t="s">
        <v>125</v>
      </c>
    </row>
    <row r="7" customFormat="false" ht="15" hidden="false" customHeight="false" outlineLevel="0" collapsed="false">
      <c r="A7" s="5" t="s">
        <v>126</v>
      </c>
      <c r="B7" s="5" t="n">
        <v>1</v>
      </c>
      <c r="C7" s="5" t="n">
        <v>1</v>
      </c>
      <c r="D7" s="5" t="s">
        <v>127</v>
      </c>
    </row>
    <row r="8" customFormat="false" ht="15" hidden="false" customHeight="false" outlineLevel="0" collapsed="false">
      <c r="A8" s="5" t="s">
        <v>128</v>
      </c>
      <c r="B8" s="5" t="n">
        <v>0</v>
      </c>
      <c r="C8" s="5" t="n">
        <v>0</v>
      </c>
      <c r="D8" s="5" t="s">
        <v>129</v>
      </c>
    </row>
    <row r="9" customFormat="false" ht="15" hidden="false" customHeight="false" outlineLevel="0" collapsed="false">
      <c r="A9" s="5" t="s">
        <v>130</v>
      </c>
      <c r="B9" s="5" t="n">
        <v>0</v>
      </c>
      <c r="C9" s="5" t="n">
        <v>0</v>
      </c>
      <c r="D9" s="5" t="s">
        <v>57</v>
      </c>
    </row>
    <row r="10" customFormat="false" ht="15" hidden="false" customHeight="false" outlineLevel="0" collapsed="false">
      <c r="A10" s="5" t="s">
        <v>131</v>
      </c>
      <c r="B10" s="5" t="n">
        <v>0</v>
      </c>
      <c r="C10" s="5" t="n">
        <v>0</v>
      </c>
      <c r="D10" s="5" t="s">
        <v>132</v>
      </c>
    </row>
    <row r="11" customFormat="false" ht="15" hidden="false" customHeight="false" outlineLevel="0" collapsed="false">
      <c r="A11" s="5" t="s">
        <v>133</v>
      </c>
      <c r="B11" s="5" t="n">
        <v>0</v>
      </c>
      <c r="C11" s="5" t="s">
        <v>134</v>
      </c>
      <c r="D11" s="5" t="s">
        <v>135</v>
      </c>
    </row>
    <row r="12" customFormat="false" ht="15" hidden="false" customHeight="false" outlineLevel="0" collapsed="false">
      <c r="A12" s="5" t="s">
        <v>136</v>
      </c>
      <c r="B12" s="5" t="n">
        <v>0</v>
      </c>
      <c r="C12" s="5" t="n">
        <v>0</v>
      </c>
      <c r="D12" s="5" t="s">
        <v>137</v>
      </c>
    </row>
    <row r="13" customFormat="false" ht="15" hidden="false" customHeight="false" outlineLevel="0" collapsed="false">
      <c r="A13" s="5" t="s">
        <v>138</v>
      </c>
      <c r="B13" s="5" t="n">
        <v>0</v>
      </c>
      <c r="C13" s="5" t="n">
        <v>0</v>
      </c>
      <c r="D13" s="5" t="s">
        <v>139</v>
      </c>
    </row>
    <row r="14" customFormat="false" ht="15" hidden="false" customHeight="false" outlineLevel="0" collapsed="false">
      <c r="A14" s="5" t="s">
        <v>140</v>
      </c>
      <c r="B14" s="5" t="n">
        <v>0</v>
      </c>
      <c r="C14" s="5" t="n">
        <v>0</v>
      </c>
      <c r="D14" s="5" t="s">
        <v>57</v>
      </c>
    </row>
    <row r="15" customFormat="false" ht="15" hidden="false" customHeight="false" outlineLevel="0" collapsed="false">
      <c r="A15" s="5" t="s">
        <v>141</v>
      </c>
      <c r="B15" s="5" t="n">
        <v>500</v>
      </c>
      <c r="C15" s="5" t="n">
        <v>0</v>
      </c>
      <c r="D15" s="5" t="s">
        <v>142</v>
      </c>
    </row>
    <row r="16" customFormat="false" ht="15" hidden="false" customHeight="false" outlineLevel="0" collapsed="false">
      <c r="A16" s="5" t="s">
        <v>143</v>
      </c>
      <c r="B16" s="5" t="n">
        <v>0</v>
      </c>
      <c r="C16" s="5" t="n">
        <v>0</v>
      </c>
      <c r="D16" s="5" t="s">
        <v>144</v>
      </c>
    </row>
    <row r="17" customFormat="false" ht="15" hidden="false" customHeight="false" outlineLevel="0" collapsed="false">
      <c r="A17" s="5"/>
      <c r="B17" s="5"/>
      <c r="C17" s="5"/>
      <c r="D17" s="5"/>
    </row>
    <row r="18" customFormat="false" ht="15" hidden="false" customHeight="false" outlineLevel="0" collapsed="false">
      <c r="A18" s="14" t="s">
        <v>145</v>
      </c>
      <c r="B18" s="14" t="n">
        <f aca="false">SUM(B4:B14)</f>
        <v>61</v>
      </c>
      <c r="C18" s="14" t="n">
        <f aca="false">B16+B17+B18+B19</f>
        <v>561</v>
      </c>
      <c r="D18" s="14" t="s">
        <v>146</v>
      </c>
    </row>
    <row r="19" customFormat="false" ht="15" hidden="false" customHeight="false" outlineLevel="0" collapsed="false">
      <c r="A19" s="12" t="s">
        <v>147</v>
      </c>
      <c r="B19" s="12" t="n">
        <v>500</v>
      </c>
      <c r="C19" s="12" t="n">
        <v>0</v>
      </c>
      <c r="D19" s="12" t="s">
        <v>148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9" t="s">
        <v>149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8" t="s">
        <v>150</v>
      </c>
      <c r="B3" s="8" t="s">
        <v>151</v>
      </c>
      <c r="C3" s="8" t="s">
        <v>152</v>
      </c>
      <c r="D3" s="8" t="s">
        <v>153</v>
      </c>
      <c r="E3" s="8" t="s">
        <v>154</v>
      </c>
      <c r="F3" s="8" t="s">
        <v>155</v>
      </c>
    </row>
    <row r="4" customFormat="false" ht="15" hidden="false" customHeight="false" outlineLevel="0" collapsed="false">
      <c r="A4" s="5" t="s">
        <v>156</v>
      </c>
      <c r="B4" s="5" t="s">
        <v>157</v>
      </c>
      <c r="C4" s="5" t="s">
        <v>158</v>
      </c>
      <c r="D4" s="5" t="s">
        <v>159</v>
      </c>
      <c r="E4" s="5" t="s">
        <v>160</v>
      </c>
      <c r="F4" s="5" t="s">
        <v>158</v>
      </c>
    </row>
    <row r="5" customFormat="false" ht="15" hidden="false" customHeight="false" outlineLevel="0" collapsed="false">
      <c r="A5" s="5" t="s">
        <v>161</v>
      </c>
      <c r="B5" s="5" t="s">
        <v>162</v>
      </c>
      <c r="C5" s="5" t="s">
        <v>158</v>
      </c>
      <c r="D5" s="5" t="s">
        <v>163</v>
      </c>
      <c r="E5" s="5" t="s">
        <v>164</v>
      </c>
      <c r="F5" s="5" t="s">
        <v>165</v>
      </c>
    </row>
    <row r="6" customFormat="false" ht="15" hidden="false" customHeight="false" outlineLevel="0" collapsed="false">
      <c r="A6" s="5" t="s">
        <v>166</v>
      </c>
      <c r="B6" s="5" t="s">
        <v>167</v>
      </c>
      <c r="C6" s="5" t="s">
        <v>165</v>
      </c>
      <c r="D6" s="5" t="s">
        <v>168</v>
      </c>
      <c r="E6" s="5" t="s">
        <v>169</v>
      </c>
      <c r="F6" s="5" t="s">
        <v>170</v>
      </c>
    </row>
    <row r="7" customFormat="false" ht="15" hidden="false" customHeight="false" outlineLevel="0" collapsed="false">
      <c r="A7" s="12" t="s">
        <v>171</v>
      </c>
      <c r="B7" s="12" t="s">
        <v>172</v>
      </c>
      <c r="C7" s="12" t="s">
        <v>173</v>
      </c>
      <c r="D7" s="12" t="s">
        <v>174</v>
      </c>
      <c r="E7" s="12" t="s">
        <v>175</v>
      </c>
      <c r="F7" s="12" t="s">
        <v>176</v>
      </c>
    </row>
    <row r="8" customFormat="false" ht="15" hidden="false" customHeight="false" outlineLevel="0" collapsed="false">
      <c r="A8" s="5" t="s">
        <v>177</v>
      </c>
      <c r="B8" s="5" t="s">
        <v>178</v>
      </c>
      <c r="C8" s="5" t="s">
        <v>165</v>
      </c>
      <c r="D8" s="5" t="s">
        <v>179</v>
      </c>
      <c r="E8" s="5" t="s">
        <v>180</v>
      </c>
      <c r="F8" s="5" t="s">
        <v>181</v>
      </c>
    </row>
    <row r="9" customFormat="false" ht="15" hidden="false" customHeight="false" outlineLevel="0" collapsed="false">
      <c r="A9" s="5" t="s">
        <v>182</v>
      </c>
      <c r="B9" s="5" t="s">
        <v>183</v>
      </c>
      <c r="C9" s="5" t="s">
        <v>184</v>
      </c>
      <c r="D9" s="5" t="s">
        <v>185</v>
      </c>
      <c r="E9" s="5" t="s">
        <v>186</v>
      </c>
      <c r="F9" s="5" t="s">
        <v>187</v>
      </c>
    </row>
    <row r="10" customFormat="false" ht="15" hidden="false" customHeight="false" outlineLevel="0" collapsed="false">
      <c r="A10" s="5" t="s">
        <v>188</v>
      </c>
      <c r="B10" s="5" t="s">
        <v>189</v>
      </c>
      <c r="C10" s="5" t="s">
        <v>165</v>
      </c>
      <c r="D10" s="5" t="s">
        <v>174</v>
      </c>
      <c r="E10" s="5" t="s">
        <v>190</v>
      </c>
      <c r="F10" s="5" t="s">
        <v>191</v>
      </c>
    </row>
    <row r="11" customFormat="false" ht="15" hidden="false" customHeight="false" outlineLevel="0" collapsed="false">
      <c r="A11" s="5" t="s">
        <v>192</v>
      </c>
      <c r="B11" s="5" t="s">
        <v>193</v>
      </c>
      <c r="C11" s="5" t="s">
        <v>194</v>
      </c>
      <c r="D11" s="5" t="s">
        <v>195</v>
      </c>
      <c r="E11" s="5" t="s">
        <v>196</v>
      </c>
      <c r="F11" s="5" t="s">
        <v>197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2025-11-26T17:12:18Z</dcterms:created>
  <dc:creator>openpyxl</dc:creator>
  <dc:description/>
  <dc:language>en-US</dc:language>
  <cp:lastModifiedBy/>
  <dcterms:modified xsi:type="dcterms:W3CDTF">2025-11-26T17:12:18Z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